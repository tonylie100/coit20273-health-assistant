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equirements" sheetId="2" state="visible" r:id="rId4"/>
    <sheet name="Software Components" sheetId="3" state="visible" r:id="rId5"/>
    <sheet name="Documents Checklist" sheetId="4" state="visible" r:id="rId6"/>
    <sheet name="Tools Setup" sheetId="5" state="visible" r:id="rId7"/>
    <sheet name="Task Estimates" sheetId="6" state="visible" r:id="rId8"/>
    <sheet name="Task Dependencies" sheetId="7" state="visible" r:id="rId9"/>
    <sheet name="Project Schedule" sheetId="8" state="visible" r:id="rId10"/>
    <sheet name="User Stories &amp; Tasks" sheetId="9" state="visible" r:id="rId11"/>
    <sheet name="Velocity Trackin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<sst xmlns="http://schemas.openxmlformats.org/spreadsheetml/2006/main" count="418" uniqueCount="296">
  <si>
    <t xml:space="preserve">AI-Powered Personal Health Assistant</t>
  </si>
  <si>
    <t xml:space="preserve">COIT20273 Capstone Project — Week 2 Team Plan</t>
  </si>
  <si>
    <t xml:space="preserve">Methodology: Agile / Scrum</t>
  </si>
  <si>
    <t xml:space="preserve">Sprint length: 2 weeks (except a shorter Sprint 0 for setup)</t>
  </si>
  <si>
    <t xml:space="preserve">Ceremonies: Sprint planning at sprint start, weekly sync (your existing Wed meeting) doubles as stand-up, sprint review + retro at sprint end</t>
  </si>
  <si>
    <t xml:space="preserve">Recommended tech stack</t>
  </si>
  <si>
    <t xml:space="preserve">Layer</t>
  </si>
  <si>
    <t xml:space="preserve">Choice</t>
  </si>
  <si>
    <t xml:space="preserve">Why</t>
  </si>
  <si>
    <t xml:space="preserve">Frontend (mobile)</t>
  </si>
  <si>
    <t xml:space="preserve">React Native (Expo)</t>
  </si>
  <si>
    <t xml:space="preserve">Cross-platform from one codebase; JS/TS is widely taught</t>
  </si>
  <si>
    <t xml:space="preserve">Backend</t>
  </si>
  <si>
    <t xml:space="preserve">Node.js + Express</t>
  </si>
  <si>
    <t xml:space="preserve">Straightforward REST API; same language as the frontend</t>
  </si>
  <si>
    <t xml:space="preserve">Database</t>
  </si>
  <si>
    <t xml:space="preserve">PostgreSQL</t>
  </si>
  <si>
    <t xml:space="preserve">Relational structure fits health data (users, goals, readings, recommendations)</t>
  </si>
  <si>
    <t xml:space="preserve">Auth</t>
  </si>
  <si>
    <t xml:space="preserve">Firebase Authentication</t>
  </si>
  <si>
    <t xml:space="preserve">Avoids building secure auth from scratch</t>
  </si>
  <si>
    <t xml:space="preserve">GenAI API</t>
  </si>
  <si>
    <t xml:space="preserve">Anthropic Claude API (OpenAI as backup)</t>
  </si>
  <si>
    <t xml:space="preserve">Powers chatbot, recommendations, mindfulness content</t>
  </si>
  <si>
    <t xml:space="preserve">Notifications</t>
  </si>
  <si>
    <t xml:space="preserve">Firebase Cloud Messaging</t>
  </si>
  <si>
    <t xml:space="preserve">Free, pairs with Firebase Auth</t>
  </si>
  <si>
    <t xml:space="preserve">Wearable data</t>
  </si>
  <si>
    <t xml:space="preserve">Simulated dataset (JSON/CSV)</t>
  </si>
  <si>
    <t xml:space="preserve">Skips OAuth/hardware complexity; real API integration is a stretch goal</t>
  </si>
  <si>
    <t xml:space="preserve">Hosting</t>
  </si>
  <si>
    <t xml:space="preserve">Render or Railway (free tier)</t>
  </si>
  <si>
    <t xml:space="preserve">Simple deploy for Node + PostgreSQL</t>
  </si>
  <si>
    <t xml:space="preserve">Version control</t>
  </si>
  <si>
    <t xml:space="preserve">GitHub</t>
  </si>
  <si>
    <t xml:space="preserve">Standard</t>
  </si>
  <si>
    <t xml:space="preserve">Agile board</t>
  </si>
  <si>
    <t xml:space="preserve">Trello</t>
  </si>
  <si>
    <t xml:space="preserve">Simple, free, fits a 3-person team</t>
  </si>
  <si>
    <t xml:space="preserve">Design</t>
  </si>
  <si>
    <t xml:space="preserve">Figma</t>
  </si>
  <si>
    <t xml:space="preserve">Wireframes before coding screens</t>
  </si>
  <si>
    <t xml:space="preserve">Functional &amp; non-functional requirements</t>
  </si>
  <si>
    <t xml:space="preserve">Derived from the Week 1 use cases</t>
  </si>
  <si>
    <t xml:space="preserve">Functional requirements</t>
  </si>
  <si>
    <t xml:space="preserve">ID</t>
  </si>
  <si>
    <t xml:space="preserve">Requirement</t>
  </si>
  <si>
    <t xml:space="preserve">Related use case(s)</t>
  </si>
  <si>
    <t xml:space="preserve">FR1</t>
  </si>
  <si>
    <t xml:space="preserve">The system shall allow users to register and manage a profile (age, weight, height, goals, dietary restrictions).</t>
  </si>
  <si>
    <t xml:space="preserve">Register &amp; manage profile</t>
  </si>
  <si>
    <t xml:space="preserve">FR2</t>
  </si>
  <si>
    <t xml:space="preserve">The system shall allow users to set and update health goals.</t>
  </si>
  <si>
    <t xml:space="preserve">Set health goals</t>
  </si>
  <si>
    <t xml:space="preserve">FR3</t>
  </si>
  <si>
    <t xml:space="preserve">The system shall sync data from a wearable device (or simulated dataset) including steps, heart rate, sleep, and calories.</t>
  </si>
  <si>
    <t xml:space="preserve">Sync wearable data</t>
  </si>
  <si>
    <t xml:space="preserve">FR4</t>
  </si>
  <si>
    <t xml:space="preserve">The system shall display a health dashboard showing trends and progress over time.</t>
  </si>
  <si>
    <t xml:space="preserve">View health dashboard</t>
  </si>
  <si>
    <t xml:space="preserve">FR5</t>
  </si>
  <si>
    <t xml:space="preserve">The system shall generate personalised diet recommendations using GenAI based on profile and health data.</t>
  </si>
  <si>
    <t xml:space="preserve">Get diet recommendation</t>
  </si>
  <si>
    <t xml:space="preserve">FR6</t>
  </si>
  <si>
    <t xml:space="preserve">The system shall generate personalised exercise recommendations using GenAI based on profile and health data.</t>
  </si>
  <si>
    <t xml:space="preserve">Get exercise recommendation</t>
  </si>
  <si>
    <t xml:space="preserve">FR7</t>
  </si>
  <si>
    <t xml:space="preserve">The system shall provide a chatbot interface for real-time health-related Q&amp;A.</t>
  </si>
  <si>
    <t xml:space="preserve">Chat with AI assistant</t>
  </si>
  <si>
    <t xml:space="preserve">FR8</t>
  </si>
  <si>
    <t xml:space="preserve">The system shall generate AI-driven mindfulness exercises tailored to user mood/progress.</t>
  </si>
  <si>
    <t xml:space="preserve">Get mindfulness &amp; motivation</t>
  </si>
  <si>
    <t xml:space="preserve">FR9</t>
  </si>
  <si>
    <t xml:space="preserve">The system shall generate motivational messages based on user activity and goals.</t>
  </si>
  <si>
    <t xml:space="preserve">FR10</t>
  </si>
  <si>
    <t xml:space="preserve">The system shall send notifications/reminders to users.</t>
  </si>
  <si>
    <t xml:space="preserve">Cross-cutting</t>
  </si>
  <si>
    <t xml:space="preserve">Non-functional requirements</t>
  </si>
  <si>
    <t xml:space="preserve">Category</t>
  </si>
  <si>
    <t xml:space="preserve">NFR1</t>
  </si>
  <si>
    <t xml:space="preserve">Performance</t>
  </si>
  <si>
    <t xml:space="preserve">Recommendations and chatbot replies should return within ~5 seconds for good UX.</t>
  </si>
  <si>
    <t xml:space="preserve">NFR2</t>
  </si>
  <si>
    <t xml:space="preserve">Security</t>
  </si>
  <si>
    <t xml:space="preserve">Health data must be encrypted at rest and in transit; authentication required for access.</t>
  </si>
  <si>
    <t xml:space="preserve">NFR3</t>
  </si>
  <si>
    <t xml:space="preserve">Privacy</t>
  </si>
  <si>
    <t xml:space="preserve">Comply with data privacy principles; informed consent for data use; no sharing/selling of data.</t>
  </si>
  <si>
    <t xml:space="preserve">NFR4</t>
  </si>
  <si>
    <t xml:space="preserve">Usability</t>
  </si>
  <si>
    <t xml:space="preserve">The app must be intuitive for non-technical users; accessible UI.</t>
  </si>
  <si>
    <t xml:space="preserve">NFR5</t>
  </si>
  <si>
    <t xml:space="preserve">Reliability</t>
  </si>
  <si>
    <t xml:space="preserve">The app should degrade gracefully if the GenAI API is slow or unavailable (fallback message).</t>
  </si>
  <si>
    <t xml:space="preserve">NFR6</t>
  </si>
  <si>
    <t xml:space="preserve">Scalability</t>
  </si>
  <si>
    <t xml:space="preserve">Backend architecture should be designed to support a growing number of users.</t>
  </si>
  <si>
    <t xml:space="preserve">NFR7</t>
  </si>
  <si>
    <t xml:space="preserve">Compatibility</t>
  </si>
  <si>
    <t xml:space="preserve">The app should run on both Android and iOS.</t>
  </si>
  <si>
    <t xml:space="preserve">NFR8</t>
  </si>
  <si>
    <t xml:space="preserve">Maintainability</t>
  </si>
  <si>
    <t xml:space="preserve">Code should follow a modular architecture aligned with the subsystems.</t>
  </si>
  <si>
    <t xml:space="preserve">NFR9</t>
  </si>
  <si>
    <t xml:space="preserve">Safety/ethics</t>
  </si>
  <si>
    <t xml:space="preserve">Mental health content must include disclaimers and direct users to professional help where relevant — never replace professional advice.</t>
  </si>
  <si>
    <t xml:space="preserve">Software components</t>
  </si>
  <si>
    <t xml:space="preserve">Component</t>
  </si>
  <si>
    <t xml:space="preserve">Description</t>
  </si>
  <si>
    <t xml:space="preserve">Technology</t>
  </si>
  <si>
    <t xml:space="preserve">Owner</t>
  </si>
  <si>
    <t xml:space="preserve">Mobile app frontend (shell)</t>
  </si>
  <si>
    <t xml:space="preserve">App shell, navigation, shared UI components</t>
  </si>
  <si>
    <t xml:space="preserve">Anthony (coordinates), all contribute</t>
  </si>
  <si>
    <t xml:space="preserve">Auth &amp; user profile module</t>
  </si>
  <si>
    <t xml:space="preserve">Registration, login, profile &amp; goals management</t>
  </si>
  <si>
    <t xml:space="preserve">Firebase Auth + Node/Express + PostgreSQL</t>
  </si>
  <si>
    <t xml:space="preserve">Sakshi</t>
  </si>
  <si>
    <t xml:space="preserve">Wearable data integration module</t>
  </si>
  <si>
    <t xml:space="preserve">Ingests simulated/real wearable data, stores readings</t>
  </si>
  <si>
    <t xml:space="preserve">Node/Express API + PostgreSQL</t>
  </si>
  <si>
    <t xml:space="preserve">Health dashboard</t>
  </si>
  <si>
    <t xml:space="preserve">Visualises trends/progress from stored data</t>
  </si>
  <si>
    <t xml:space="preserve">React Native + charting library</t>
  </si>
  <si>
    <t xml:space="preserve">Recommendation engine</t>
  </si>
  <si>
    <t xml:space="preserve">Generates diet/exercise plans via GenAI</t>
  </si>
  <si>
    <t xml:space="preserve">Node/Express + Claude API</t>
  </si>
  <si>
    <t xml:space="preserve">Anthony</t>
  </si>
  <si>
    <t xml:space="preserve">Chatbot module</t>
  </si>
  <si>
    <t xml:space="preserve">Real-time conversational health Q&amp;A</t>
  </si>
  <si>
    <t xml:space="preserve">Prathyusha</t>
  </si>
  <si>
    <t xml:space="preserve">Mental health module</t>
  </si>
  <si>
    <t xml:space="preserve">Mindfulness exercises &amp; motivational messages</t>
  </si>
  <si>
    <t xml:space="preserve">Notification service</t>
  </si>
  <si>
    <t xml:space="preserve">Sends reminders &amp; alerts</t>
  </si>
  <si>
    <t xml:space="preserve">Anthony (shared infra)</t>
  </si>
  <si>
    <t xml:space="preserve">Shared database &amp; API gateway</t>
  </si>
  <si>
    <t xml:space="preserve">Central schema &amp; routing used by all modules</t>
  </si>
  <si>
    <t xml:space="preserve">PostgreSQL + Express</t>
  </si>
  <si>
    <t xml:space="preserve">Anthony (architecture), all contribute</t>
  </si>
  <si>
    <t xml:space="preserve">Documents to prepare</t>
  </si>
  <si>
    <t xml:space="preserve">Document</t>
  </si>
  <si>
    <t xml:space="preserve">Purpose</t>
  </si>
  <si>
    <t xml:space="preserve">Status</t>
  </si>
  <si>
    <t xml:space="preserve">Software Requirements Specification (SRS)</t>
  </si>
  <si>
    <t xml:space="preserve">Formal record of functional &amp; non-functional requirements</t>
  </si>
  <si>
    <t xml:space="preserve">Not started</t>
  </si>
  <si>
    <t xml:space="preserve">System Design Document</t>
  </si>
  <si>
    <t xml:space="preserve">Architecture, ERD, class/sequence diagrams</t>
  </si>
  <si>
    <t xml:space="preserve">All (Anthony consolidates)</t>
  </si>
  <si>
    <t xml:space="preserve">Project Schedule / Gantt</t>
  </si>
  <si>
    <t xml:space="preserve">Timeline &amp; milestones</t>
  </si>
  <si>
    <t xml:space="preserve">Test Plan &amp; Test Cases</t>
  </si>
  <si>
    <t xml:space="preserve">QA strategy per subsystem</t>
  </si>
  <si>
    <t xml:space="preserve">All (own subsystem)</t>
  </si>
  <si>
    <t xml:space="preserve">API Documentation</t>
  </si>
  <si>
    <t xml:space="preserve">Endpoint reference for the backend</t>
  </si>
  <si>
    <t xml:space="preserve">Sakshi (sets format), all contribute</t>
  </si>
  <si>
    <t xml:space="preserve">User Manual</t>
  </si>
  <si>
    <t xml:space="preserve">End-user guide</t>
  </si>
  <si>
    <t xml:space="preserve">Meeting Minutes Log</t>
  </si>
  <si>
    <t xml:space="preserve">Record of weekly decisions</t>
  </si>
  <si>
    <t xml:space="preserve">Anthony (or rotate with leadership)</t>
  </si>
  <si>
    <t xml:space="preserve">Ongoing</t>
  </si>
  <si>
    <t xml:space="preserve">Risk Register</t>
  </si>
  <si>
    <t xml:space="preserve">Known risks &amp; mitigations</t>
  </si>
  <si>
    <t xml:space="preserve">Final Report &amp; Presentation</t>
  </si>
  <si>
    <t xml:space="preserve">Capstone submission</t>
  </si>
  <si>
    <t xml:space="preserve">All</t>
  </si>
  <si>
    <t xml:space="preserve">Software tools — install &amp; configure</t>
  </si>
  <si>
    <t xml:space="preserve">Tool</t>
  </si>
  <si>
    <t xml:space="preserve">VS Code</t>
  </si>
  <si>
    <t xml:space="preserve">Primary IDE</t>
  </si>
  <si>
    <t xml:space="preserve">Node.js + npm</t>
  </si>
  <si>
    <t xml:space="preserve">JS runtime for backend/tooling</t>
  </si>
  <si>
    <t xml:space="preserve">Expo CLI / React Native</t>
  </si>
  <si>
    <t xml:space="preserve">Mobile app framework</t>
  </si>
  <si>
    <t xml:space="preserve">Android Studio (emulator)</t>
  </si>
  <si>
    <t xml:space="preserve">Android testing</t>
  </si>
  <si>
    <t xml:space="preserve">Git + GitHub repo</t>
  </si>
  <si>
    <t xml:space="preserve">Anthony (sets up repo)</t>
  </si>
  <si>
    <t xml:space="preserve">Postman</t>
  </si>
  <si>
    <t xml:space="preserve">API testing</t>
  </si>
  <si>
    <t xml:space="preserve">UI/UX mockups</t>
  </si>
  <si>
    <t xml:space="preserve">Firebase project (Auth + FCM)</t>
  </si>
  <si>
    <t xml:space="preserve">Auth &amp; notifications</t>
  </si>
  <si>
    <t xml:space="preserve">Anthropic Claude API key</t>
  </si>
  <si>
    <t xml:space="preserve">GenAI integration</t>
  </si>
  <si>
    <t xml:space="preserve">Trello board</t>
  </si>
  <si>
    <t xml:space="preserve">Agile task tracking</t>
  </si>
  <si>
    <t xml:space="preserve">Task time estimates</t>
  </si>
  <si>
    <t xml:space="preserve">Task</t>
  </si>
  <si>
    <t xml:space="preserve">Est. hours</t>
  </si>
  <si>
    <t xml:space="preserve">Requirements &amp; design docs</t>
  </si>
  <si>
    <t xml:space="preserve">Environment/tool setup</t>
  </si>
  <si>
    <t xml:space="preserve">UI/UX wireframes (Figma)</t>
  </si>
  <si>
    <t xml:space="preserve">DB schema design</t>
  </si>
  <si>
    <t xml:space="preserve">Backend API scaffolding</t>
  </si>
  <si>
    <t xml:space="preserve">Auth implementation</t>
  </si>
  <si>
    <t xml:space="preserve">Data integration (wearable/simulated)</t>
  </si>
  <si>
    <t xml:space="preserve">Recommendation engine (GenAI)</t>
  </si>
  <si>
    <t xml:space="preserve">Frontend screens (all)</t>
  </si>
  <si>
    <t xml:space="preserve">Integration &amp; testing</t>
  </si>
  <si>
    <t xml:space="preserve">Documentation &amp; report writing</t>
  </si>
  <si>
    <t xml:space="preserve">Presentation prep</t>
  </si>
  <si>
    <t xml:space="preserve">Total</t>
  </si>
  <si>
    <t xml:space="preserve">Task dependencies</t>
  </si>
  <si>
    <t xml:space="preserve">Depends on</t>
  </si>
  <si>
    <t xml:space="preserve">Notes</t>
  </si>
  <si>
    <t xml:space="preserve">Requirements finalised</t>
  </si>
  <si>
    <t xml:space="preserve">Frontend UI wireframes</t>
  </si>
  <si>
    <t xml:space="preserve">Frontend screens development</t>
  </si>
  <si>
    <t xml:space="preserve">Wireframes + Auth API available</t>
  </si>
  <si>
    <t xml:space="preserve">Data integration module</t>
  </si>
  <si>
    <t xml:space="preserve">Backend API + GenAI API key set up</t>
  </si>
  <si>
    <t xml:space="preserve">GenAI API key set up + Backend API</t>
  </si>
  <si>
    <t xml:space="preserve">GenAI API key set up</t>
  </si>
  <si>
    <t xml:space="preserve">Backend API + Firebase setup</t>
  </si>
  <si>
    <t xml:space="preserve">Integration testing</t>
  </si>
  <si>
    <t xml:space="preserve">All subsystem modules complete</t>
  </si>
  <si>
    <t xml:space="preserve">Documentation</t>
  </si>
  <si>
    <t xml:space="preserve">Finalise after testing</t>
  </si>
  <si>
    <t xml:space="preserve">Project schedule</t>
  </si>
  <si>
    <t xml:space="preserve">Assumes a 12-week term — adjust to match your actual term length</t>
  </si>
  <si>
    <t xml:space="preserve">Week</t>
  </si>
  <si>
    <t xml:space="preserve">Phase / focus</t>
  </si>
  <si>
    <t xml:space="preserve">Key deliverables</t>
  </si>
  <si>
    <t xml:space="preserve">Week 1</t>
  </si>
  <si>
    <t xml:space="preserve">Team formation &amp; scope</t>
  </si>
  <si>
    <t xml:space="preserve">Scope doc, use case &amp; context diagrams (done)</t>
  </si>
  <si>
    <t xml:space="preserve">Week 2</t>
  </si>
  <si>
    <t xml:space="preserve">Requirements &amp; planning</t>
  </si>
  <si>
    <t xml:space="preserve">FR/NFR, components, docs list, tools, schedule (this week)</t>
  </si>
  <si>
    <t xml:space="preserve">Week 3</t>
  </si>
  <si>
    <t xml:space="preserve">Design &amp; setup (Sprint 0)</t>
  </si>
  <si>
    <t xml:space="preserve">DB schema, wireframes, repo &amp; tool setup, backend scaffolding</t>
  </si>
  <si>
    <t xml:space="preserve">Week 4</t>
  </si>
  <si>
    <t xml:space="preserve">Sprint 0 wrap-up</t>
  </si>
  <si>
    <t xml:space="preserve">Auth working, core API endpoints, frontend skeleton</t>
  </si>
  <si>
    <t xml:space="preserve">Weeks 5-6</t>
  </si>
  <si>
    <t xml:space="preserve">Sprint 1</t>
  </si>
  <si>
    <t xml:space="preserve">Data integration + recommendation engine (diet/exercise)</t>
  </si>
  <si>
    <t xml:space="preserve">Weeks 7-8</t>
  </si>
  <si>
    <t xml:space="preserve">Sprint 2</t>
  </si>
  <si>
    <t xml:space="preserve">Chatbot + mental health modules</t>
  </si>
  <si>
    <t xml:space="preserve">Week 9</t>
  </si>
  <si>
    <t xml:space="preserve">Sprint 3</t>
  </si>
  <si>
    <t xml:space="preserve">Notifications + frontend polish</t>
  </si>
  <si>
    <t xml:space="preserve">Week 10</t>
  </si>
  <si>
    <t xml:space="preserve">End-to-end testing across subsystems</t>
  </si>
  <si>
    <t xml:space="preserve">Week 11</t>
  </si>
  <si>
    <t xml:space="preserve">Bug fixes &amp; docs</t>
  </si>
  <si>
    <t xml:space="preserve">Final testing, SRS/design doc finalised</t>
  </si>
  <si>
    <t xml:space="preserve">Week 12</t>
  </si>
  <si>
    <t xml:space="preserve">Wrap-up</t>
  </si>
  <si>
    <t xml:space="preserve">Final report, presentation, submission</t>
  </si>
  <si>
    <t xml:space="preserve">User stories &amp; development tasks</t>
  </si>
  <si>
    <t xml:space="preserve">Epic</t>
  </si>
  <si>
    <t xml:space="preserve">User story</t>
  </si>
  <si>
    <t xml:space="preserve">Points</t>
  </si>
  <si>
    <t xml:space="preserve">Dev tasks</t>
  </si>
  <si>
    <t xml:space="preserve">User management</t>
  </si>
  <si>
    <t xml:space="preserve">As a user, I want to register and create a profile so the app can personalise my experience.</t>
  </si>
  <si>
    <t xml:space="preserve">Design profile schema; build registration API; build registration/profile UI</t>
  </si>
  <si>
    <t xml:space="preserve">As a user, I want to set health goals so I can track my progress.</t>
  </si>
  <si>
    <t xml:space="preserve">Extend schema for goals; goals API endpoint; goals UI</t>
  </si>
  <si>
    <t xml:space="preserve">Data integration</t>
  </si>
  <si>
    <t xml:space="preserve">As a user, I want to sync my wearable data so the app can analyse my health trends.</t>
  </si>
  <si>
    <t xml:space="preserve">Build simulated data generator; ingestion API; sync UI</t>
  </si>
  <si>
    <t xml:space="preserve">As a user, I want to view my health dashboard so I can see my progress at a glance.</t>
  </si>
  <si>
    <t xml:space="preserve">Aggregate queries; dashboard charts UI</t>
  </si>
  <si>
    <t xml:space="preserve">As a user, I want personalised diet recommendations so I can eat healthier.</t>
  </si>
  <si>
    <t xml:space="preserve">Design GenAI prompt; API endpoint; recommendation UI</t>
  </si>
  <si>
    <t xml:space="preserve">As a user, I want personalised exercise recommendations so I can train effectively.</t>
  </si>
  <si>
    <t xml:space="preserve">Chatbot</t>
  </si>
  <si>
    <t xml:space="preserve">As a user, I want to chat with an AI assistant so I can get real-time health advice.</t>
  </si>
  <si>
    <t xml:space="preserve">Chat API + GenAI integration; chat UI; conversation history storage</t>
  </si>
  <si>
    <t xml:space="preserve">Mental health</t>
  </si>
  <si>
    <t xml:space="preserve">As a user, I want AI-generated mindfulness exercises so I can manage stress.</t>
  </si>
  <si>
    <t xml:space="preserve">GenAI prompt design; API endpoint; content UI</t>
  </si>
  <si>
    <t xml:space="preserve">As a user, I want motivational messages so I stay engaged with my goals.</t>
  </si>
  <si>
    <t xml:space="preserve">GenAI prompt design; trigger logic; notification integration</t>
  </si>
  <si>
    <t xml:space="preserve">Total points</t>
  </si>
  <si>
    <t xml:space="preserve">Velocity tracking</t>
  </si>
  <si>
    <t xml:space="preserve">Velocity = story points your team actually completes per sprint. You can't know it before Sprint 1 finishes — use the planned points below as a starting assumption, then fill in Completed points after each sprint and the average will update automatically.</t>
  </si>
  <si>
    <t xml:space="preserve">Sprint</t>
  </si>
  <si>
    <t xml:space="preserve">Weeks</t>
  </si>
  <si>
    <t xml:space="preserve">Planned points</t>
  </si>
  <si>
    <t xml:space="preserve">Completed points</t>
  </si>
  <si>
    <t xml:space="preserve">Running avg velocity</t>
  </si>
  <si>
    <t xml:space="preserve">Sprint 0</t>
  </si>
  <si>
    <t xml:space="preserve">Weeks 3-4</t>
  </si>
  <si>
    <t xml:space="preserve">User management stories; mostly setup work</t>
  </si>
  <si>
    <t xml:space="preserve">Data integration + recommendation engine (diet)</t>
  </si>
  <si>
    <t xml:space="preserve">Recommendation engine (exercise) + chatbot</t>
  </si>
  <si>
    <t xml:space="preserve">Mental health module + notification polish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</si>
</sst>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46"/>
  </cols>
  <sheetData>
    <row r="1" customFormat="false" ht="19.7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/>
      <c r="C5" s="4"/>
    </row>
    <row r="6" customFormat="false" ht="15" hidden="false" customHeight="false" outlineLevel="0" collapsed="false">
      <c r="A6" s="4" t="s">
        <v>4</v>
      </c>
      <c r="B6" s="4"/>
      <c r="C6" s="4"/>
    </row>
    <row r="8" customFormat="false" ht="15" hidden="false" customHeight="false" outlineLevel="0" collapsed="false">
      <c r="A8" s="3" t="s">
        <v>5</v>
      </c>
    </row>
    <row r="9" customFormat="false" ht="25.5" hidden="false" customHeight="true" outlineLevel="0" collapsed="false">
      <c r="A9" s="5" t="s">
        <v>6</v>
      </c>
      <c r="B9" s="5" t="s">
        <v>7</v>
      </c>
      <c r="C9" s="5" t="s">
        <v>8</v>
      </c>
    </row>
    <row r="10" customFormat="false" ht="28.35" hidden="false" customHeight="false" outlineLevel="0" collapsed="false">
      <c r="A10" s="6" t="s">
        <v>9</v>
      </c>
      <c r="B10" s="6" t="s">
        <v>10</v>
      </c>
      <c r="C10" s="6" t="s">
        <v>11</v>
      </c>
    </row>
    <row r="11" customFormat="false" ht="28.35" hidden="false" customHeight="false" outlineLevel="0" collapsed="false">
      <c r="A11" s="6" t="s">
        <v>12</v>
      </c>
      <c r="B11" s="6" t="s">
        <v>13</v>
      </c>
      <c r="C11" s="6" t="s">
        <v>14</v>
      </c>
    </row>
    <row r="12" customFormat="false" ht="28.35" hidden="false" customHeight="false" outlineLevel="0" collapsed="false">
      <c r="A12" s="6" t="s">
        <v>15</v>
      </c>
      <c r="B12" s="6" t="s">
        <v>16</v>
      </c>
      <c r="C12" s="6" t="s">
        <v>17</v>
      </c>
    </row>
    <row r="13" customFormat="false" ht="15" hidden="false" customHeight="false" outlineLevel="0" collapsed="false">
      <c r="A13" s="6" t="s">
        <v>18</v>
      </c>
      <c r="B13" s="6" t="s">
        <v>19</v>
      </c>
      <c r="C13" s="6" t="s">
        <v>20</v>
      </c>
    </row>
    <row r="14" customFormat="false" ht="28.35" hidden="false" customHeight="false" outlineLevel="0" collapsed="false">
      <c r="A14" s="6" t="s">
        <v>21</v>
      </c>
      <c r="B14" s="6" t="s">
        <v>22</v>
      </c>
      <c r="C14" s="6" t="s">
        <v>23</v>
      </c>
    </row>
    <row r="15" customFormat="false" ht="15" hidden="false" customHeight="false" outlineLevel="0" collapsed="false">
      <c r="A15" s="6" t="s">
        <v>24</v>
      </c>
      <c r="B15" s="6" t="s">
        <v>25</v>
      </c>
      <c r="C15" s="6" t="s">
        <v>26</v>
      </c>
    </row>
    <row r="16" customFormat="false" ht="28.35" hidden="false" customHeight="false" outlineLevel="0" collapsed="false">
      <c r="A16" s="6" t="s">
        <v>27</v>
      </c>
      <c r="B16" s="6" t="s">
        <v>28</v>
      </c>
      <c r="C16" s="6" t="s">
        <v>29</v>
      </c>
    </row>
    <row r="17" customFormat="false" ht="15" hidden="false" customHeight="false" outlineLevel="0" collapsed="false">
      <c r="A17" s="6" t="s">
        <v>30</v>
      </c>
      <c r="B17" s="6" t="s">
        <v>31</v>
      </c>
      <c r="C17" s="6" t="s">
        <v>32</v>
      </c>
    </row>
    <row r="18" customFormat="false" ht="15" hidden="false" customHeight="false" outlineLevel="0" collapsed="false">
      <c r="A18" s="6" t="s">
        <v>33</v>
      </c>
      <c r="B18" s="6" t="s">
        <v>34</v>
      </c>
      <c r="C18" s="6" t="s">
        <v>35</v>
      </c>
    </row>
    <row r="19" customFormat="false" ht="15" hidden="false" customHeight="false" outlineLevel="0" collapsed="false">
      <c r="A19" s="6" t="s">
        <v>36</v>
      </c>
      <c r="B19" s="6" t="s">
        <v>37</v>
      </c>
      <c r="C19" s="6" t="s">
        <v>38</v>
      </c>
    </row>
    <row r="20" customFormat="false" ht="15" hidden="false" customHeight="false" outlineLevel="0" collapsed="false">
      <c r="A20" s="6" t="s">
        <v>39</v>
      </c>
      <c r="B20" s="6" t="s">
        <v>40</v>
      </c>
      <c r="C20" s="6" t="s">
        <v>41</v>
      </c>
    </row>
  </sheetData>
  <mergeCells count="4">
    <mergeCell ref="A1:C1"/>
    <mergeCell ref="A2:C2"/>
    <mergeCell ref="A5:C5"/>
    <mergeCell ref="A6: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5"/>
    <col collapsed="false" customWidth="true" hidden="false" outlineLevel="0" max="3" min="3" style="0" width="30"/>
  </cols>
  <sheetData>
    <row r="1" customFormat="false" ht="19.7" hidden="false" customHeight="false" outlineLevel="0" collapsed="false">
      <c r="A1" s="1" t="s">
        <v>42</v>
      </c>
      <c r="B1" s="1"/>
      <c r="C1" s="1"/>
    </row>
    <row r="2" customFormat="false" ht="15" hidden="false" customHeight="false" outlineLevel="0" collapsed="false">
      <c r="A2" s="2" t="s">
        <v>43</v>
      </c>
      <c r="B2" s="2"/>
      <c r="C2" s="2"/>
    </row>
    <row r="4" customFormat="false" ht="15" hidden="false" customHeight="false" outlineLevel="0" collapsed="false">
      <c r="A4" s="3" t="s">
        <v>44</v>
      </c>
    </row>
    <row r="5" customFormat="false" ht="25.5" hidden="false" customHeight="true" outlineLevel="0" collapsed="false">
      <c r="A5" s="5" t="s">
        <v>45</v>
      </c>
      <c r="B5" s="5" t="s">
        <v>46</v>
      </c>
      <c r="C5" s="5" t="s">
        <v>47</v>
      </c>
    </row>
    <row r="6" customFormat="false" ht="28.35" hidden="false" customHeight="false" outlineLevel="0" collapsed="false">
      <c r="A6" s="6" t="s">
        <v>48</v>
      </c>
      <c r="B6" s="6" t="s">
        <v>49</v>
      </c>
      <c r="C6" s="6" t="s">
        <v>50</v>
      </c>
    </row>
    <row r="7" customFormat="false" ht="15" hidden="false" customHeight="false" outlineLevel="0" collapsed="false">
      <c r="A7" s="6" t="s">
        <v>51</v>
      </c>
      <c r="B7" s="6" t="s">
        <v>52</v>
      </c>
      <c r="C7" s="6" t="s">
        <v>53</v>
      </c>
    </row>
    <row r="8" customFormat="false" ht="41.75" hidden="false" customHeight="false" outlineLevel="0" collapsed="false">
      <c r="A8" s="6" t="s">
        <v>54</v>
      </c>
      <c r="B8" s="6" t="s">
        <v>55</v>
      </c>
      <c r="C8" s="6" t="s">
        <v>56</v>
      </c>
    </row>
    <row r="9" customFormat="false" ht="28.35" hidden="false" customHeight="false" outlineLevel="0" collapsed="false">
      <c r="A9" s="6" t="s">
        <v>57</v>
      </c>
      <c r="B9" s="6" t="s">
        <v>58</v>
      </c>
      <c r="C9" s="6" t="s">
        <v>59</v>
      </c>
    </row>
    <row r="10" customFormat="false" ht="28.35" hidden="false" customHeight="false" outlineLevel="0" collapsed="false">
      <c r="A10" s="6" t="s">
        <v>60</v>
      </c>
      <c r="B10" s="6" t="s">
        <v>61</v>
      </c>
      <c r="C10" s="6" t="s">
        <v>62</v>
      </c>
    </row>
    <row r="11" customFormat="false" ht="41.75" hidden="false" customHeight="false" outlineLevel="0" collapsed="false">
      <c r="A11" s="6" t="s">
        <v>63</v>
      </c>
      <c r="B11" s="6" t="s">
        <v>64</v>
      </c>
      <c r="C11" s="6" t="s">
        <v>65</v>
      </c>
    </row>
    <row r="12" customFormat="false" ht="28.35" hidden="false" customHeight="false" outlineLevel="0" collapsed="false">
      <c r="A12" s="6" t="s">
        <v>66</v>
      </c>
      <c r="B12" s="6" t="s">
        <v>67</v>
      </c>
      <c r="C12" s="6" t="s">
        <v>68</v>
      </c>
    </row>
    <row r="13" customFormat="false" ht="28.35" hidden="false" customHeight="false" outlineLevel="0" collapsed="false">
      <c r="A13" s="6" t="s">
        <v>69</v>
      </c>
      <c r="B13" s="6" t="s">
        <v>70</v>
      </c>
      <c r="C13" s="6" t="s">
        <v>71</v>
      </c>
    </row>
    <row r="14" customFormat="false" ht="28.35" hidden="false" customHeight="false" outlineLevel="0" collapsed="false">
      <c r="A14" s="6" t="s">
        <v>72</v>
      </c>
      <c r="B14" s="6" t="s">
        <v>73</v>
      </c>
      <c r="C14" s="6" t="s">
        <v>71</v>
      </c>
    </row>
    <row r="15" customFormat="false" ht="15" hidden="false" customHeight="false" outlineLevel="0" collapsed="false">
      <c r="A15" s="6" t="s">
        <v>74</v>
      </c>
      <c r="B15" s="6" t="s">
        <v>75</v>
      </c>
      <c r="C15" s="6" t="s">
        <v>76</v>
      </c>
    </row>
    <row r="17" customFormat="false" ht="15" hidden="false" customHeight="false" outlineLevel="0" collapsed="false">
      <c r="A17" s="3" t="s">
        <v>77</v>
      </c>
    </row>
    <row r="18" customFormat="false" ht="25.5" hidden="false" customHeight="true" outlineLevel="0" collapsed="false">
      <c r="A18" s="5" t="s">
        <v>45</v>
      </c>
      <c r="B18" s="5" t="s">
        <v>78</v>
      </c>
      <c r="C18" s="5" t="s">
        <v>46</v>
      </c>
    </row>
    <row r="19" customFormat="false" ht="41.75" hidden="false" customHeight="false" outlineLevel="0" collapsed="false">
      <c r="A19" s="6" t="s">
        <v>79</v>
      </c>
      <c r="B19" s="6" t="s">
        <v>80</v>
      </c>
      <c r="C19" s="6" t="s">
        <v>81</v>
      </c>
    </row>
    <row r="20" customFormat="false" ht="41.75" hidden="false" customHeight="false" outlineLevel="0" collapsed="false">
      <c r="A20" s="6" t="s">
        <v>82</v>
      </c>
      <c r="B20" s="6" t="s">
        <v>83</v>
      </c>
      <c r="C20" s="6" t="s">
        <v>84</v>
      </c>
    </row>
    <row r="21" customFormat="false" ht="55.2" hidden="false" customHeight="false" outlineLevel="0" collapsed="false">
      <c r="A21" s="6" t="s">
        <v>85</v>
      </c>
      <c r="B21" s="6" t="s">
        <v>86</v>
      </c>
      <c r="C21" s="6" t="s">
        <v>87</v>
      </c>
    </row>
    <row r="22" customFormat="false" ht="28.35" hidden="false" customHeight="false" outlineLevel="0" collapsed="false">
      <c r="A22" s="6" t="s">
        <v>88</v>
      </c>
      <c r="B22" s="6" t="s">
        <v>89</v>
      </c>
      <c r="C22" s="6" t="s">
        <v>90</v>
      </c>
    </row>
    <row r="23" customFormat="false" ht="41.75" hidden="false" customHeight="false" outlineLevel="0" collapsed="false">
      <c r="A23" s="6" t="s">
        <v>91</v>
      </c>
      <c r="B23" s="6" t="s">
        <v>92</v>
      </c>
      <c r="C23" s="6" t="s">
        <v>93</v>
      </c>
    </row>
    <row r="24" customFormat="false" ht="41.75" hidden="false" customHeight="false" outlineLevel="0" collapsed="false">
      <c r="A24" s="6" t="s">
        <v>94</v>
      </c>
      <c r="B24" s="6" t="s">
        <v>95</v>
      </c>
      <c r="C24" s="6" t="s">
        <v>96</v>
      </c>
    </row>
    <row r="25" customFormat="false" ht="28.35" hidden="false" customHeight="false" outlineLevel="0" collapsed="false">
      <c r="A25" s="6" t="s">
        <v>97</v>
      </c>
      <c r="B25" s="6" t="s">
        <v>98</v>
      </c>
      <c r="C25" s="6" t="s">
        <v>99</v>
      </c>
    </row>
    <row r="26" customFormat="false" ht="41.75" hidden="false" customHeight="false" outlineLevel="0" collapsed="false">
      <c r="A26" s="6" t="s">
        <v>100</v>
      </c>
      <c r="B26" s="6" t="s">
        <v>101</v>
      </c>
      <c r="C26" s="6" t="s">
        <v>102</v>
      </c>
    </row>
    <row r="27" customFormat="false" ht="68.65" hidden="false" customHeight="false" outlineLevel="0" collapsed="false">
      <c r="A27" s="6" t="s">
        <v>103</v>
      </c>
      <c r="B27" s="6" t="s">
        <v>104</v>
      </c>
      <c r="C27" s="6" t="s">
        <v>105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28"/>
    <col collapsed="false" customWidth="true" hidden="false" outlineLevel="0" max="4" min="4" style="0" width="22"/>
  </cols>
  <sheetData>
    <row r="1" customFormat="false" ht="19.7" hidden="false" customHeight="false" outlineLevel="0" collapsed="false">
      <c r="A1" s="1" t="s">
        <v>106</v>
      </c>
      <c r="B1" s="1"/>
      <c r="C1" s="1"/>
      <c r="D1" s="1"/>
    </row>
    <row r="3" customFormat="false" ht="25.5" hidden="false" customHeight="true" outlineLevel="0" collapsed="false">
      <c r="A3" s="5" t="s">
        <v>107</v>
      </c>
      <c r="B3" s="5" t="s">
        <v>108</v>
      </c>
      <c r="C3" s="5" t="s">
        <v>109</v>
      </c>
      <c r="D3" s="5" t="s">
        <v>110</v>
      </c>
    </row>
    <row r="4" customFormat="false" ht="28.35" hidden="false" customHeight="false" outlineLevel="0" collapsed="false">
      <c r="A4" s="6" t="s">
        <v>111</v>
      </c>
      <c r="B4" s="6" t="s">
        <v>112</v>
      </c>
      <c r="C4" s="6" t="s">
        <v>10</v>
      </c>
      <c r="D4" s="6" t="s">
        <v>113</v>
      </c>
    </row>
    <row r="5" customFormat="false" ht="28.35" hidden="false" customHeight="false" outlineLevel="0" collapsed="false">
      <c r="A5" s="6" t="s">
        <v>114</v>
      </c>
      <c r="B5" s="6" t="s">
        <v>115</v>
      </c>
      <c r="C5" s="6" t="s">
        <v>116</v>
      </c>
      <c r="D5" s="6" t="s">
        <v>117</v>
      </c>
    </row>
    <row r="6" customFormat="false" ht="28.35" hidden="false" customHeight="false" outlineLevel="0" collapsed="false">
      <c r="A6" s="6" t="s">
        <v>118</v>
      </c>
      <c r="B6" s="6" t="s">
        <v>119</v>
      </c>
      <c r="C6" s="6" t="s">
        <v>120</v>
      </c>
      <c r="D6" s="6" t="s">
        <v>117</v>
      </c>
    </row>
    <row r="7" customFormat="false" ht="15" hidden="false" customHeight="false" outlineLevel="0" collapsed="false">
      <c r="A7" s="6" t="s">
        <v>121</v>
      </c>
      <c r="B7" s="6" t="s">
        <v>122</v>
      </c>
      <c r="C7" s="6" t="s">
        <v>123</v>
      </c>
      <c r="D7" s="6" t="s">
        <v>117</v>
      </c>
    </row>
    <row r="8" customFormat="false" ht="15" hidden="false" customHeight="false" outlineLevel="0" collapsed="false">
      <c r="A8" s="6" t="s">
        <v>124</v>
      </c>
      <c r="B8" s="6" t="s">
        <v>125</v>
      </c>
      <c r="C8" s="6" t="s">
        <v>126</v>
      </c>
      <c r="D8" s="6" t="s">
        <v>127</v>
      </c>
    </row>
    <row r="9" customFormat="false" ht="15" hidden="false" customHeight="false" outlineLevel="0" collapsed="false">
      <c r="A9" s="6" t="s">
        <v>128</v>
      </c>
      <c r="B9" s="6" t="s">
        <v>129</v>
      </c>
      <c r="C9" s="6" t="s">
        <v>126</v>
      </c>
      <c r="D9" s="6" t="s">
        <v>130</v>
      </c>
    </row>
    <row r="10" customFormat="false" ht="15" hidden="false" customHeight="false" outlineLevel="0" collapsed="false">
      <c r="A10" s="6" t="s">
        <v>131</v>
      </c>
      <c r="B10" s="6" t="s">
        <v>132</v>
      </c>
      <c r="C10" s="6" t="s">
        <v>126</v>
      </c>
      <c r="D10" s="6" t="s">
        <v>130</v>
      </c>
    </row>
    <row r="11" customFormat="false" ht="15" hidden="false" customHeight="false" outlineLevel="0" collapsed="false">
      <c r="A11" s="6" t="s">
        <v>133</v>
      </c>
      <c r="B11" s="6" t="s">
        <v>134</v>
      </c>
      <c r="C11" s="6" t="s">
        <v>25</v>
      </c>
      <c r="D11" s="6" t="s">
        <v>135</v>
      </c>
    </row>
    <row r="12" customFormat="false" ht="28.35" hidden="false" customHeight="false" outlineLevel="0" collapsed="false">
      <c r="A12" s="6" t="s">
        <v>136</v>
      </c>
      <c r="B12" s="6" t="s">
        <v>137</v>
      </c>
      <c r="C12" s="6" t="s">
        <v>138</v>
      </c>
      <c r="D12" s="6" t="s">
        <v>139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140</v>
      </c>
      <c r="B1" s="1"/>
      <c r="C1" s="1"/>
      <c r="D1" s="1"/>
    </row>
    <row r="3" customFormat="false" ht="25.5" hidden="false" customHeight="true" outlineLevel="0" collapsed="false">
      <c r="A3" s="5" t="s">
        <v>141</v>
      </c>
      <c r="B3" s="5" t="s">
        <v>142</v>
      </c>
      <c r="C3" s="5" t="s">
        <v>110</v>
      </c>
      <c r="D3" s="5" t="s">
        <v>143</v>
      </c>
    </row>
    <row r="4" customFormat="false" ht="28.35" hidden="false" customHeight="false" outlineLevel="0" collapsed="false">
      <c r="A4" s="6" t="s">
        <v>144</v>
      </c>
      <c r="B4" s="6" t="s">
        <v>145</v>
      </c>
      <c r="C4" s="6" t="s">
        <v>127</v>
      </c>
      <c r="D4" s="7" t="s">
        <v>146</v>
      </c>
    </row>
    <row r="5" customFormat="false" ht="15" hidden="false" customHeight="false" outlineLevel="0" collapsed="false">
      <c r="A5" s="6" t="s">
        <v>147</v>
      </c>
      <c r="B5" s="6" t="s">
        <v>148</v>
      </c>
      <c r="C5" s="6" t="s">
        <v>149</v>
      </c>
      <c r="D5" s="7" t="s">
        <v>146</v>
      </c>
    </row>
    <row r="6" customFormat="false" ht="15" hidden="false" customHeight="false" outlineLevel="0" collapsed="false">
      <c r="A6" s="6" t="s">
        <v>150</v>
      </c>
      <c r="B6" s="6" t="s">
        <v>151</v>
      </c>
      <c r="C6" s="6" t="s">
        <v>127</v>
      </c>
      <c r="D6" s="7" t="s">
        <v>146</v>
      </c>
    </row>
    <row r="7" customFormat="false" ht="15" hidden="false" customHeight="false" outlineLevel="0" collapsed="false">
      <c r="A7" s="6" t="s">
        <v>152</v>
      </c>
      <c r="B7" s="6" t="s">
        <v>153</v>
      </c>
      <c r="C7" s="6" t="s">
        <v>154</v>
      </c>
      <c r="D7" s="7" t="s">
        <v>146</v>
      </c>
    </row>
    <row r="8" customFormat="false" ht="28.35" hidden="false" customHeight="false" outlineLevel="0" collapsed="false">
      <c r="A8" s="6" t="s">
        <v>155</v>
      </c>
      <c r="B8" s="6" t="s">
        <v>156</v>
      </c>
      <c r="C8" s="6" t="s">
        <v>157</v>
      </c>
      <c r="D8" s="7" t="s">
        <v>146</v>
      </c>
    </row>
    <row r="9" customFormat="false" ht="15" hidden="false" customHeight="false" outlineLevel="0" collapsed="false">
      <c r="A9" s="6" t="s">
        <v>158</v>
      </c>
      <c r="B9" s="6" t="s">
        <v>159</v>
      </c>
      <c r="C9" s="6" t="s">
        <v>130</v>
      </c>
      <c r="D9" s="7" t="s">
        <v>146</v>
      </c>
    </row>
    <row r="10" customFormat="false" ht="28.35" hidden="false" customHeight="false" outlineLevel="0" collapsed="false">
      <c r="A10" s="6" t="s">
        <v>160</v>
      </c>
      <c r="B10" s="6" t="s">
        <v>161</v>
      </c>
      <c r="C10" s="6" t="s">
        <v>162</v>
      </c>
      <c r="D10" s="7" t="s">
        <v>163</v>
      </c>
    </row>
    <row r="11" customFormat="false" ht="15" hidden="false" customHeight="false" outlineLevel="0" collapsed="false">
      <c r="A11" s="6" t="s">
        <v>164</v>
      </c>
      <c r="B11" s="6" t="s">
        <v>165</v>
      </c>
      <c r="C11" s="6" t="s">
        <v>127</v>
      </c>
      <c r="D11" s="7" t="s">
        <v>146</v>
      </c>
    </row>
    <row r="12" customFormat="false" ht="15" hidden="false" customHeight="false" outlineLevel="0" collapsed="false">
      <c r="A12" s="6" t="s">
        <v>166</v>
      </c>
      <c r="B12" s="6" t="s">
        <v>167</v>
      </c>
      <c r="C12" s="6" t="s">
        <v>168</v>
      </c>
      <c r="D12" s="7" t="s">
        <v>146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169</v>
      </c>
      <c r="B1" s="1"/>
      <c r="C1" s="1"/>
      <c r="D1" s="1"/>
    </row>
    <row r="3" customFormat="false" ht="25.5" hidden="false" customHeight="true" outlineLevel="0" collapsed="false">
      <c r="A3" s="5" t="s">
        <v>170</v>
      </c>
      <c r="B3" s="5" t="s">
        <v>142</v>
      </c>
      <c r="C3" s="5" t="s">
        <v>110</v>
      </c>
      <c r="D3" s="5" t="s">
        <v>143</v>
      </c>
    </row>
    <row r="4" customFormat="false" ht="15" hidden="false" customHeight="false" outlineLevel="0" collapsed="false">
      <c r="A4" s="6" t="s">
        <v>171</v>
      </c>
      <c r="B4" s="6" t="s">
        <v>172</v>
      </c>
      <c r="C4" s="6" t="s">
        <v>168</v>
      </c>
      <c r="D4" s="7" t="s">
        <v>146</v>
      </c>
    </row>
    <row r="5" customFormat="false" ht="15" hidden="false" customHeight="false" outlineLevel="0" collapsed="false">
      <c r="A5" s="6" t="s">
        <v>173</v>
      </c>
      <c r="B5" s="6" t="s">
        <v>174</v>
      </c>
      <c r="C5" s="6" t="s">
        <v>168</v>
      </c>
      <c r="D5" s="7" t="s">
        <v>146</v>
      </c>
    </row>
    <row r="6" customFormat="false" ht="15" hidden="false" customHeight="false" outlineLevel="0" collapsed="false">
      <c r="A6" s="6" t="s">
        <v>175</v>
      </c>
      <c r="B6" s="6" t="s">
        <v>176</v>
      </c>
      <c r="C6" s="6" t="s">
        <v>168</v>
      </c>
      <c r="D6" s="7" t="s">
        <v>146</v>
      </c>
    </row>
    <row r="7" customFormat="false" ht="15" hidden="false" customHeight="false" outlineLevel="0" collapsed="false">
      <c r="A7" s="6" t="s">
        <v>177</v>
      </c>
      <c r="B7" s="6" t="s">
        <v>178</v>
      </c>
      <c r="C7" s="6" t="s">
        <v>168</v>
      </c>
      <c r="D7" s="7" t="s">
        <v>146</v>
      </c>
    </row>
    <row r="8" customFormat="false" ht="15" hidden="false" customHeight="false" outlineLevel="0" collapsed="false">
      <c r="A8" s="6" t="s">
        <v>16</v>
      </c>
      <c r="B8" s="6" t="s">
        <v>15</v>
      </c>
      <c r="C8" s="6" t="s">
        <v>117</v>
      </c>
      <c r="D8" s="7" t="s">
        <v>146</v>
      </c>
    </row>
    <row r="9" customFormat="false" ht="15" hidden="false" customHeight="false" outlineLevel="0" collapsed="false">
      <c r="A9" s="6" t="s">
        <v>179</v>
      </c>
      <c r="B9" s="6" t="s">
        <v>33</v>
      </c>
      <c r="C9" s="6" t="s">
        <v>180</v>
      </c>
      <c r="D9" s="7" t="s">
        <v>146</v>
      </c>
    </row>
    <row r="10" customFormat="false" ht="15" hidden="false" customHeight="false" outlineLevel="0" collapsed="false">
      <c r="A10" s="6" t="s">
        <v>181</v>
      </c>
      <c r="B10" s="6" t="s">
        <v>182</v>
      </c>
      <c r="C10" s="6" t="s">
        <v>117</v>
      </c>
      <c r="D10" s="7" t="s">
        <v>146</v>
      </c>
    </row>
    <row r="11" customFormat="false" ht="15" hidden="false" customHeight="false" outlineLevel="0" collapsed="false">
      <c r="A11" s="6" t="s">
        <v>40</v>
      </c>
      <c r="B11" s="6" t="s">
        <v>183</v>
      </c>
      <c r="C11" s="6" t="s">
        <v>130</v>
      </c>
      <c r="D11" s="7" t="s">
        <v>146</v>
      </c>
    </row>
    <row r="12" customFormat="false" ht="15" hidden="false" customHeight="false" outlineLevel="0" collapsed="false">
      <c r="A12" s="6" t="s">
        <v>184</v>
      </c>
      <c r="B12" s="6" t="s">
        <v>185</v>
      </c>
      <c r="C12" s="6" t="s">
        <v>127</v>
      </c>
      <c r="D12" s="7" t="s">
        <v>146</v>
      </c>
    </row>
    <row r="13" customFormat="false" ht="15" hidden="false" customHeight="false" outlineLevel="0" collapsed="false">
      <c r="A13" s="6" t="s">
        <v>186</v>
      </c>
      <c r="B13" s="6" t="s">
        <v>187</v>
      </c>
      <c r="C13" s="6" t="s">
        <v>127</v>
      </c>
      <c r="D13" s="7" t="s">
        <v>146</v>
      </c>
    </row>
    <row r="14" customFormat="false" ht="15" hidden="false" customHeight="false" outlineLevel="0" collapsed="false">
      <c r="A14" s="6" t="s">
        <v>188</v>
      </c>
      <c r="B14" s="6" t="s">
        <v>189</v>
      </c>
      <c r="C14" s="6" t="s">
        <v>127</v>
      </c>
      <c r="D14" s="7" t="s">
        <v>146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190</v>
      </c>
      <c r="B1" s="1"/>
      <c r="C1" s="1"/>
      <c r="D1" s="1"/>
    </row>
    <row r="3" customFormat="false" ht="25.5" hidden="false" customHeight="true" outlineLevel="0" collapsed="false">
      <c r="A3" s="5" t="s">
        <v>191</v>
      </c>
      <c r="B3" s="5" t="s">
        <v>110</v>
      </c>
      <c r="C3" s="5" t="s">
        <v>192</v>
      </c>
      <c r="D3" s="5" t="s">
        <v>143</v>
      </c>
    </row>
    <row r="4" customFormat="false" ht="15" hidden="false" customHeight="false" outlineLevel="0" collapsed="false">
      <c r="A4" s="6" t="s">
        <v>193</v>
      </c>
      <c r="B4" s="6" t="s">
        <v>168</v>
      </c>
      <c r="C4" s="6" t="n">
        <v>15</v>
      </c>
      <c r="D4" s="7" t="s">
        <v>146</v>
      </c>
    </row>
    <row r="5" customFormat="false" ht="15" hidden="false" customHeight="false" outlineLevel="0" collapsed="false">
      <c r="A5" s="6" t="s">
        <v>194</v>
      </c>
      <c r="B5" s="6" t="s">
        <v>168</v>
      </c>
      <c r="C5" s="6" t="n">
        <v>8</v>
      </c>
      <c r="D5" s="7" t="s">
        <v>146</v>
      </c>
    </row>
    <row r="6" customFormat="false" ht="15" hidden="false" customHeight="false" outlineLevel="0" collapsed="false">
      <c r="A6" s="6" t="s">
        <v>195</v>
      </c>
      <c r="B6" s="6" t="s">
        <v>130</v>
      </c>
      <c r="C6" s="6" t="n">
        <v>10</v>
      </c>
      <c r="D6" s="7" t="s">
        <v>146</v>
      </c>
    </row>
    <row r="7" customFormat="false" ht="15" hidden="false" customHeight="false" outlineLevel="0" collapsed="false">
      <c r="A7" s="6" t="s">
        <v>196</v>
      </c>
      <c r="B7" s="6" t="s">
        <v>117</v>
      </c>
      <c r="C7" s="6" t="n">
        <v>6</v>
      </c>
      <c r="D7" s="7" t="s">
        <v>146</v>
      </c>
    </row>
    <row r="8" customFormat="false" ht="15" hidden="false" customHeight="false" outlineLevel="0" collapsed="false">
      <c r="A8" s="6" t="s">
        <v>197</v>
      </c>
      <c r="B8" s="6" t="s">
        <v>127</v>
      </c>
      <c r="C8" s="6" t="n">
        <v>10</v>
      </c>
      <c r="D8" s="7" t="s">
        <v>146</v>
      </c>
    </row>
    <row r="9" customFormat="false" ht="15" hidden="false" customHeight="false" outlineLevel="0" collapsed="false">
      <c r="A9" s="6" t="s">
        <v>198</v>
      </c>
      <c r="B9" s="6" t="s">
        <v>117</v>
      </c>
      <c r="C9" s="6" t="n">
        <v>8</v>
      </c>
      <c r="D9" s="7" t="s">
        <v>146</v>
      </c>
    </row>
    <row r="10" customFormat="false" ht="15" hidden="false" customHeight="false" outlineLevel="0" collapsed="false">
      <c r="A10" s="6" t="s">
        <v>199</v>
      </c>
      <c r="B10" s="6" t="s">
        <v>117</v>
      </c>
      <c r="C10" s="6" t="n">
        <v>12</v>
      </c>
      <c r="D10" s="7" t="s">
        <v>146</v>
      </c>
    </row>
    <row r="11" customFormat="false" ht="15" hidden="false" customHeight="false" outlineLevel="0" collapsed="false">
      <c r="A11" s="6" t="s">
        <v>200</v>
      </c>
      <c r="B11" s="6" t="s">
        <v>127</v>
      </c>
      <c r="C11" s="6" t="n">
        <v>20</v>
      </c>
      <c r="D11" s="7" t="s">
        <v>146</v>
      </c>
    </row>
    <row r="12" customFormat="false" ht="15" hidden="false" customHeight="false" outlineLevel="0" collapsed="false">
      <c r="A12" s="6" t="s">
        <v>128</v>
      </c>
      <c r="B12" s="6" t="s">
        <v>130</v>
      </c>
      <c r="C12" s="6" t="n">
        <v>15</v>
      </c>
      <c r="D12" s="7" t="s">
        <v>146</v>
      </c>
    </row>
    <row r="13" customFormat="false" ht="15" hidden="false" customHeight="false" outlineLevel="0" collapsed="false">
      <c r="A13" s="6" t="s">
        <v>131</v>
      </c>
      <c r="B13" s="6" t="s">
        <v>130</v>
      </c>
      <c r="C13" s="6" t="n">
        <v>12</v>
      </c>
      <c r="D13" s="7" t="s">
        <v>146</v>
      </c>
    </row>
    <row r="14" customFormat="false" ht="15" hidden="false" customHeight="false" outlineLevel="0" collapsed="false">
      <c r="A14" s="6" t="s">
        <v>24</v>
      </c>
      <c r="B14" s="6" t="s">
        <v>127</v>
      </c>
      <c r="C14" s="6" t="n">
        <v>6</v>
      </c>
      <c r="D14" s="7" t="s">
        <v>146</v>
      </c>
    </row>
    <row r="15" customFormat="false" ht="15" hidden="false" customHeight="false" outlineLevel="0" collapsed="false">
      <c r="A15" s="6" t="s">
        <v>201</v>
      </c>
      <c r="B15" s="6" t="s">
        <v>168</v>
      </c>
      <c r="C15" s="6" t="n">
        <v>25</v>
      </c>
      <c r="D15" s="7" t="s">
        <v>146</v>
      </c>
    </row>
    <row r="16" customFormat="false" ht="15" hidden="false" customHeight="false" outlineLevel="0" collapsed="false">
      <c r="A16" s="6" t="s">
        <v>202</v>
      </c>
      <c r="B16" s="6" t="s">
        <v>168</v>
      </c>
      <c r="C16" s="6" t="n">
        <v>20</v>
      </c>
      <c r="D16" s="7" t="s">
        <v>146</v>
      </c>
    </row>
    <row r="17" customFormat="false" ht="15" hidden="false" customHeight="false" outlineLevel="0" collapsed="false">
      <c r="A17" s="6" t="s">
        <v>203</v>
      </c>
      <c r="B17" s="6" t="s">
        <v>168</v>
      </c>
      <c r="C17" s="6" t="n">
        <v>15</v>
      </c>
      <c r="D17" s="7" t="s">
        <v>146</v>
      </c>
    </row>
    <row r="18" customFormat="false" ht="15" hidden="false" customHeight="false" outlineLevel="0" collapsed="false">
      <c r="A18" s="6" t="s">
        <v>204</v>
      </c>
      <c r="B18" s="6" t="s">
        <v>168</v>
      </c>
      <c r="C18" s="6" t="n">
        <v>6</v>
      </c>
      <c r="D18" s="7" t="s">
        <v>146</v>
      </c>
    </row>
    <row r="19" customFormat="false" ht="15" hidden="false" customHeight="false" outlineLevel="0" collapsed="false">
      <c r="A19" s="8" t="s">
        <v>205</v>
      </c>
      <c r="B19" s="8"/>
      <c r="C19" s="8" t="n">
        <f aca="false">SUM(C4:C18)</f>
        <v>188</v>
      </c>
      <c r="D19" s="8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6"/>
    <col collapsed="false" customWidth="true" hidden="false" outlineLevel="0" max="3" min="3" style="0" width="30"/>
  </cols>
  <sheetData>
    <row r="1" customFormat="false" ht="19.7" hidden="false" customHeight="false" outlineLevel="0" collapsed="false">
      <c r="A1" s="1" t="s">
        <v>206</v>
      </c>
      <c r="B1" s="1"/>
      <c r="C1" s="1"/>
    </row>
    <row r="3" customFormat="false" ht="25.5" hidden="false" customHeight="true" outlineLevel="0" collapsed="false">
      <c r="A3" s="5" t="s">
        <v>191</v>
      </c>
      <c r="B3" s="5" t="s">
        <v>207</v>
      </c>
      <c r="C3" s="5" t="s">
        <v>208</v>
      </c>
    </row>
    <row r="4" customFormat="false" ht="15" hidden="false" customHeight="false" outlineLevel="0" collapsed="false">
      <c r="A4" s="6" t="s">
        <v>196</v>
      </c>
      <c r="B4" s="6" t="s">
        <v>209</v>
      </c>
      <c r="C4" s="6"/>
    </row>
    <row r="5" customFormat="false" ht="15" hidden="false" customHeight="false" outlineLevel="0" collapsed="false">
      <c r="A5" s="6" t="s">
        <v>197</v>
      </c>
      <c r="B5" s="6" t="s">
        <v>196</v>
      </c>
      <c r="C5" s="6"/>
    </row>
    <row r="6" customFormat="false" ht="15" hidden="false" customHeight="false" outlineLevel="0" collapsed="false">
      <c r="A6" s="6" t="s">
        <v>198</v>
      </c>
      <c r="B6" s="6" t="s">
        <v>197</v>
      </c>
      <c r="C6" s="6"/>
    </row>
    <row r="7" customFormat="false" ht="15" hidden="false" customHeight="false" outlineLevel="0" collapsed="false">
      <c r="A7" s="6" t="s">
        <v>210</v>
      </c>
      <c r="B7" s="6" t="s">
        <v>209</v>
      </c>
      <c r="C7" s="6"/>
    </row>
    <row r="8" customFormat="false" ht="15" hidden="false" customHeight="false" outlineLevel="0" collapsed="false">
      <c r="A8" s="6" t="s">
        <v>211</v>
      </c>
      <c r="B8" s="6" t="s">
        <v>212</v>
      </c>
      <c r="C8" s="6"/>
    </row>
    <row r="9" customFormat="false" ht="15" hidden="false" customHeight="false" outlineLevel="0" collapsed="false">
      <c r="A9" s="6" t="s">
        <v>213</v>
      </c>
      <c r="B9" s="6" t="s">
        <v>197</v>
      </c>
      <c r="C9" s="6"/>
    </row>
    <row r="10" customFormat="false" ht="15" hidden="false" customHeight="false" outlineLevel="0" collapsed="false">
      <c r="A10" s="6" t="s">
        <v>124</v>
      </c>
      <c r="B10" s="6" t="s">
        <v>214</v>
      </c>
      <c r="C10" s="6"/>
    </row>
    <row r="11" customFormat="false" ht="15" hidden="false" customHeight="false" outlineLevel="0" collapsed="false">
      <c r="A11" s="6" t="s">
        <v>128</v>
      </c>
      <c r="B11" s="6" t="s">
        <v>215</v>
      </c>
      <c r="C11" s="6"/>
    </row>
    <row r="12" customFormat="false" ht="15" hidden="false" customHeight="false" outlineLevel="0" collapsed="false">
      <c r="A12" s="6" t="s">
        <v>131</v>
      </c>
      <c r="B12" s="6" t="s">
        <v>216</v>
      </c>
      <c r="C12" s="6"/>
    </row>
    <row r="13" customFormat="false" ht="15" hidden="false" customHeight="false" outlineLevel="0" collapsed="false">
      <c r="A13" s="6" t="s">
        <v>24</v>
      </c>
      <c r="B13" s="6" t="s">
        <v>217</v>
      </c>
      <c r="C13" s="6"/>
    </row>
    <row r="14" customFormat="false" ht="15" hidden="false" customHeight="false" outlineLevel="0" collapsed="false">
      <c r="A14" s="6" t="s">
        <v>218</v>
      </c>
      <c r="B14" s="6" t="s">
        <v>219</v>
      </c>
      <c r="C14" s="6"/>
    </row>
    <row r="15" customFormat="false" ht="15" hidden="false" customHeight="false" outlineLevel="0" collapsed="false">
      <c r="A15" s="6" t="s">
        <v>220</v>
      </c>
      <c r="B15" s="6" t="s">
        <v>163</v>
      </c>
      <c r="C15" s="6" t="s">
        <v>221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46"/>
  </cols>
  <sheetData>
    <row r="1" customFormat="false" ht="19.7" hidden="false" customHeight="false" outlineLevel="0" collapsed="false">
      <c r="A1" s="1" t="s">
        <v>222</v>
      </c>
      <c r="B1" s="1"/>
      <c r="C1" s="1"/>
    </row>
    <row r="2" customFormat="false" ht="15" hidden="false" customHeight="false" outlineLevel="0" collapsed="false">
      <c r="A2" s="2" t="s">
        <v>223</v>
      </c>
      <c r="B2" s="2"/>
      <c r="C2" s="2"/>
    </row>
    <row r="4" customFormat="false" ht="25.5" hidden="false" customHeight="true" outlineLevel="0" collapsed="false">
      <c r="A4" s="5" t="s">
        <v>224</v>
      </c>
      <c r="B4" s="5" t="s">
        <v>225</v>
      </c>
      <c r="C4" s="5" t="s">
        <v>226</v>
      </c>
    </row>
    <row r="5" customFormat="false" ht="15" hidden="false" customHeight="false" outlineLevel="0" collapsed="false">
      <c r="A5" s="7" t="s">
        <v>227</v>
      </c>
      <c r="B5" s="6" t="s">
        <v>228</v>
      </c>
      <c r="C5" s="6" t="s">
        <v>229</v>
      </c>
    </row>
    <row r="6" customFormat="false" ht="28.35" hidden="false" customHeight="false" outlineLevel="0" collapsed="false">
      <c r="A6" s="7" t="s">
        <v>230</v>
      </c>
      <c r="B6" s="6" t="s">
        <v>231</v>
      </c>
      <c r="C6" s="6" t="s">
        <v>232</v>
      </c>
    </row>
    <row r="7" customFormat="false" ht="28.35" hidden="false" customHeight="false" outlineLevel="0" collapsed="false">
      <c r="A7" s="7" t="s">
        <v>233</v>
      </c>
      <c r="B7" s="6" t="s">
        <v>234</v>
      </c>
      <c r="C7" s="6" t="s">
        <v>235</v>
      </c>
    </row>
    <row r="8" customFormat="false" ht="15" hidden="false" customHeight="false" outlineLevel="0" collapsed="false">
      <c r="A8" s="7" t="s">
        <v>236</v>
      </c>
      <c r="B8" s="6" t="s">
        <v>237</v>
      </c>
      <c r="C8" s="6" t="s">
        <v>238</v>
      </c>
    </row>
    <row r="9" customFormat="false" ht="28.35" hidden="false" customHeight="false" outlineLevel="0" collapsed="false">
      <c r="A9" s="7" t="s">
        <v>239</v>
      </c>
      <c r="B9" s="6" t="s">
        <v>240</v>
      </c>
      <c r="C9" s="6" t="s">
        <v>241</v>
      </c>
    </row>
    <row r="10" customFormat="false" ht="15" hidden="false" customHeight="false" outlineLevel="0" collapsed="false">
      <c r="A10" s="7" t="s">
        <v>242</v>
      </c>
      <c r="B10" s="6" t="s">
        <v>243</v>
      </c>
      <c r="C10" s="6" t="s">
        <v>244</v>
      </c>
    </row>
    <row r="11" customFormat="false" ht="15" hidden="false" customHeight="false" outlineLevel="0" collapsed="false">
      <c r="A11" s="7" t="s">
        <v>245</v>
      </c>
      <c r="B11" s="6" t="s">
        <v>246</v>
      </c>
      <c r="C11" s="6" t="s">
        <v>247</v>
      </c>
    </row>
    <row r="12" customFormat="false" ht="15" hidden="false" customHeight="false" outlineLevel="0" collapsed="false">
      <c r="A12" s="7" t="s">
        <v>248</v>
      </c>
      <c r="B12" s="6" t="s">
        <v>218</v>
      </c>
      <c r="C12" s="6" t="s">
        <v>249</v>
      </c>
    </row>
    <row r="13" customFormat="false" ht="15" hidden="false" customHeight="false" outlineLevel="0" collapsed="false">
      <c r="A13" s="7" t="s">
        <v>250</v>
      </c>
      <c r="B13" s="6" t="s">
        <v>251</v>
      </c>
      <c r="C13" s="6" t="s">
        <v>252</v>
      </c>
    </row>
    <row r="14" customFormat="false" ht="15" hidden="false" customHeight="false" outlineLevel="0" collapsed="false">
      <c r="A14" s="7" t="s">
        <v>253</v>
      </c>
      <c r="B14" s="6" t="s">
        <v>254</v>
      </c>
      <c r="C14" s="6" t="s">
        <v>255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46"/>
  </cols>
  <sheetData>
    <row r="1" customFormat="false" ht="19.7" hidden="false" customHeight="false" outlineLevel="0" collapsed="false">
      <c r="A1" s="1" t="s">
        <v>256</v>
      </c>
      <c r="B1" s="1"/>
      <c r="C1" s="1"/>
      <c r="D1" s="1"/>
      <c r="E1" s="1"/>
    </row>
    <row r="3" customFormat="false" ht="25.5" hidden="false" customHeight="true" outlineLevel="0" collapsed="false">
      <c r="A3" s="5" t="s">
        <v>257</v>
      </c>
      <c r="B3" s="5" t="s">
        <v>258</v>
      </c>
      <c r="C3" s="5" t="s">
        <v>259</v>
      </c>
      <c r="D3" s="5" t="s">
        <v>110</v>
      </c>
      <c r="E3" s="5" t="s">
        <v>260</v>
      </c>
    </row>
    <row r="4" customFormat="false" ht="28.35" hidden="false" customHeight="false" outlineLevel="0" collapsed="false">
      <c r="A4" s="6" t="s">
        <v>261</v>
      </c>
      <c r="B4" s="6" t="s">
        <v>262</v>
      </c>
      <c r="C4" s="6" t="n">
        <v>5</v>
      </c>
      <c r="D4" s="6" t="s">
        <v>117</v>
      </c>
      <c r="E4" s="6" t="s">
        <v>263</v>
      </c>
    </row>
    <row r="5" customFormat="false" ht="28.35" hidden="false" customHeight="false" outlineLevel="0" collapsed="false">
      <c r="A5" s="6" t="s">
        <v>261</v>
      </c>
      <c r="B5" s="6" t="s">
        <v>264</v>
      </c>
      <c r="C5" s="6" t="n">
        <v>3</v>
      </c>
      <c r="D5" s="6" t="s">
        <v>117</v>
      </c>
      <c r="E5" s="6" t="s">
        <v>265</v>
      </c>
    </row>
    <row r="6" customFormat="false" ht="28.35" hidden="false" customHeight="false" outlineLevel="0" collapsed="false">
      <c r="A6" s="6" t="s">
        <v>266</v>
      </c>
      <c r="B6" s="6" t="s">
        <v>267</v>
      </c>
      <c r="C6" s="6" t="n">
        <v>8</v>
      </c>
      <c r="D6" s="6" t="s">
        <v>117</v>
      </c>
      <c r="E6" s="6" t="s">
        <v>268</v>
      </c>
    </row>
    <row r="7" customFormat="false" ht="28.35" hidden="false" customHeight="false" outlineLevel="0" collapsed="false">
      <c r="A7" s="6" t="s">
        <v>266</v>
      </c>
      <c r="B7" s="6" t="s">
        <v>269</v>
      </c>
      <c r="C7" s="6" t="n">
        <v>5</v>
      </c>
      <c r="D7" s="6" t="s">
        <v>117</v>
      </c>
      <c r="E7" s="6" t="s">
        <v>270</v>
      </c>
    </row>
    <row r="8" customFormat="false" ht="28.35" hidden="false" customHeight="false" outlineLevel="0" collapsed="false">
      <c r="A8" s="6" t="s">
        <v>124</v>
      </c>
      <c r="B8" s="6" t="s">
        <v>271</v>
      </c>
      <c r="C8" s="6" t="n">
        <v>8</v>
      </c>
      <c r="D8" s="6" t="s">
        <v>127</v>
      </c>
      <c r="E8" s="6" t="s">
        <v>272</v>
      </c>
    </row>
    <row r="9" customFormat="false" ht="28.35" hidden="false" customHeight="false" outlineLevel="0" collapsed="false">
      <c r="A9" s="6" t="s">
        <v>124</v>
      </c>
      <c r="B9" s="6" t="s">
        <v>273</v>
      </c>
      <c r="C9" s="6" t="n">
        <v>8</v>
      </c>
      <c r="D9" s="6" t="s">
        <v>127</v>
      </c>
      <c r="E9" s="6" t="s">
        <v>272</v>
      </c>
    </row>
    <row r="10" customFormat="false" ht="28.35" hidden="false" customHeight="false" outlineLevel="0" collapsed="false">
      <c r="A10" s="6" t="s">
        <v>274</v>
      </c>
      <c r="B10" s="6" t="s">
        <v>275</v>
      </c>
      <c r="C10" s="6" t="n">
        <v>8</v>
      </c>
      <c r="D10" s="6" t="s">
        <v>130</v>
      </c>
      <c r="E10" s="6" t="s">
        <v>276</v>
      </c>
    </row>
    <row r="11" customFormat="false" ht="28.35" hidden="false" customHeight="false" outlineLevel="0" collapsed="false">
      <c r="A11" s="6" t="s">
        <v>277</v>
      </c>
      <c r="B11" s="6" t="s">
        <v>278</v>
      </c>
      <c r="C11" s="6" t="n">
        <v>5</v>
      </c>
      <c r="D11" s="6" t="s">
        <v>130</v>
      </c>
      <c r="E11" s="6" t="s">
        <v>279</v>
      </c>
    </row>
    <row r="12" customFormat="false" ht="28.35" hidden="false" customHeight="false" outlineLevel="0" collapsed="false">
      <c r="A12" s="6" t="s">
        <v>277</v>
      </c>
      <c r="B12" s="6" t="s">
        <v>280</v>
      </c>
      <c r="C12" s="6" t="n">
        <v>3</v>
      </c>
      <c r="D12" s="6" t="s">
        <v>130</v>
      </c>
      <c r="E12" s="6" t="s">
        <v>281</v>
      </c>
    </row>
    <row r="13" customFormat="false" ht="15" hidden="false" customHeight="false" outlineLevel="0" collapsed="false">
      <c r="A13" s="8" t="s">
        <v>282</v>
      </c>
      <c r="B13" s="8"/>
      <c r="C13" s="8" t="n">
        <f aca="false">SUM(C4:C12)</f>
        <v>53</v>
      </c>
      <c r="D13" s="8"/>
      <c r="E13" s="8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1" t="s">
        <v>283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284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5" t="s">
        <v>285</v>
      </c>
      <c r="B4" s="5" t="s">
        <v>286</v>
      </c>
      <c r="C4" s="5" t="s">
        <v>287</v>
      </c>
      <c r="D4" s="5" t="s">
        <v>288</v>
      </c>
      <c r="E4" s="5" t="s">
        <v>289</v>
      </c>
      <c r="F4" s="5" t="s">
        <v>208</v>
      </c>
    </row>
    <row r="5" customFormat="false" ht="15" hidden="false" customHeight="false" outlineLevel="0" collapsed="false">
      <c r="A5" s="6" t="s">
        <v>290</v>
      </c>
      <c r="B5" s="6" t="s">
        <v>291</v>
      </c>
      <c r="C5" s="6" t="n">
        <v>8</v>
      </c>
      <c r="D5" s="7"/>
      <c r="E5" s="6" t="str">
        <f aca="false">IFERROR(AVERAGE($D$5:D5),"-")</f>
        <v>-</v>
      </c>
      <c r="F5" s="6" t="s">
        <v>292</v>
      </c>
    </row>
    <row r="6" customFormat="false" ht="28.35" hidden="false" customHeight="false" outlineLevel="0" collapsed="false">
      <c r="A6" s="6" t="s">
        <v>240</v>
      </c>
      <c r="B6" s="6" t="s">
        <v>239</v>
      </c>
      <c r="C6" s="6" t="n">
        <v>21</v>
      </c>
      <c r="D6" s="7"/>
      <c r="E6" s="6" t="str">
        <f aca="false">IFERROR(AVERAGE($D$5:D6),"-")</f>
        <v>-</v>
      </c>
      <c r="F6" s="6" t="s">
        <v>293</v>
      </c>
    </row>
    <row r="7" customFormat="false" ht="15" hidden="false" customHeight="false" outlineLevel="0" collapsed="false">
      <c r="A7" s="6" t="s">
        <v>243</v>
      </c>
      <c r="B7" s="6" t="s">
        <v>242</v>
      </c>
      <c r="C7" s="6" t="n">
        <v>16</v>
      </c>
      <c r="D7" s="7"/>
      <c r="E7" s="6" t="str">
        <f aca="false">IFERROR(AVERAGE($D$5:D7),"-")</f>
        <v>-</v>
      </c>
      <c r="F7" s="6" t="s">
        <v>294</v>
      </c>
    </row>
    <row r="8" customFormat="false" ht="15" hidden="false" customHeight="false" outlineLevel="0" collapsed="false">
      <c r="A8" s="6" t="s">
        <v>246</v>
      </c>
      <c r="B8" s="6" t="s">
        <v>245</v>
      </c>
      <c r="C8" s="6" t="n">
        <v>8</v>
      </c>
      <c r="D8" s="7"/>
      <c r="E8" s="6" t="str">
        <f aca="false">IFERROR(AVERAGE($D$5:D8),"-")</f>
        <v>-</v>
      </c>
      <c r="F8" s="6" t="s">
        <v>295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2026-07-22T05:17:52Z</dcterms:created>
  <dc:creator>openpyxl</dc:creator>
  <dc:description/>
  <dc:language>en-US</dc:language>
  <cp:lastModifiedBy/>
  <dcterms:modified xsi:type="dcterms:W3CDTF">2026-07-22T05:17:52Z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